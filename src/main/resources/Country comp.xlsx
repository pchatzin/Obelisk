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ec\OneDrive - aueb.gr\ΠΗΝΕΛΟΠΗ\Πανεπιστήμιο\2ο έτος\3ο εξάμηνο\Προγραμματισμός ΙΙ\Exercise\"/>
    </mc:Choice>
  </mc:AlternateContent>
  <xr:revisionPtr revIDLastSave="0" documentId="13_ncr:1_{CAC22C90-D938-4943-8D9D-051C2DC72809}" xr6:coauthVersionLast="47" xr6:coauthVersionMax="47" xr10:uidLastSave="{00000000-0000-0000-0000-000000000000}"/>
  <bookViews>
    <workbookView xWindow="-110" yWindow="-110" windowWidth="19420" windowHeight="11500" xr2:uid="{0E712400-922C-49C9-B991-B20554D76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AF6" i="1"/>
  <c r="AD4" i="1"/>
  <c r="AC4" i="1"/>
  <c r="AB4" i="1"/>
  <c r="AA4" i="1"/>
  <c r="Z4" i="1"/>
  <c r="Y4" i="1"/>
  <c r="AD2" i="1"/>
  <c r="AB2" i="1"/>
  <c r="Z2" i="1"/>
  <c r="X2" i="1"/>
  <c r="X4" i="1"/>
  <c r="W4" i="1"/>
  <c r="AC2" i="1"/>
  <c r="AA2" i="1"/>
  <c r="Y2" i="1"/>
  <c r="W2" i="1"/>
  <c r="U6" i="1"/>
  <c r="S6" i="1"/>
  <c r="Q6" i="1"/>
  <c r="AE6" i="1"/>
  <c r="AD6" i="1"/>
  <c r="AC6" i="1"/>
  <c r="AB6" i="1"/>
  <c r="AA6" i="1"/>
  <c r="Z6" i="1"/>
  <c r="Y6" i="1"/>
  <c r="X6" i="1"/>
  <c r="W6" i="1"/>
  <c r="P6" i="1"/>
  <c r="F6" i="1"/>
  <c r="H6" i="1"/>
  <c r="D6" i="1"/>
  <c r="D5" i="1"/>
  <c r="D4" i="1"/>
  <c r="D3" i="1"/>
  <c r="D2" i="1"/>
  <c r="X5" i="1"/>
  <c r="V5" i="1"/>
  <c r="R5" i="1"/>
  <c r="T5" i="1"/>
  <c r="P5" i="1"/>
  <c r="P4" i="1"/>
  <c r="I5" i="1"/>
  <c r="G5" i="1"/>
  <c r="J5" i="1"/>
  <c r="AE4" i="1"/>
  <c r="AF4" i="1" s="1"/>
  <c r="U4" i="1"/>
  <c r="V4" i="1" s="1"/>
  <c r="S4" i="1"/>
  <c r="T4" i="1" s="1"/>
  <c r="Q4" i="1"/>
  <c r="O4" i="1"/>
  <c r="M4" i="1"/>
  <c r="H4" i="1"/>
  <c r="F4" i="1"/>
  <c r="AE2" i="1"/>
  <c r="U2" i="1"/>
  <c r="S2" i="1"/>
  <c r="Q2" i="1"/>
  <c r="O2" i="1"/>
  <c r="M2" i="1"/>
  <c r="H2" i="1"/>
  <c r="F2" i="1"/>
  <c r="J2" i="1" s="1"/>
  <c r="M3" i="1"/>
  <c r="G3" i="1"/>
  <c r="I3" i="1"/>
  <c r="P3" i="1"/>
  <c r="R3" i="1"/>
  <c r="T3" i="1"/>
  <c r="V3" i="1"/>
  <c r="X3" i="1"/>
  <c r="Z3" i="1"/>
  <c r="AB3" i="1"/>
  <c r="AD3" i="1"/>
  <c r="AF3" i="1"/>
  <c r="J6" i="1" l="1"/>
  <c r="R4" i="1"/>
  <c r="J4" i="1"/>
  <c r="P2" i="1"/>
  <c r="R2" i="1"/>
  <c r="T2" i="1"/>
  <c r="V2" i="1"/>
  <c r="AF2" i="1"/>
</calcChain>
</file>

<file path=xl/sharedStrings.xml><?xml version="1.0" encoding="utf-8"?>
<sst xmlns="http://schemas.openxmlformats.org/spreadsheetml/2006/main" count="42" uniqueCount="39">
  <si>
    <t>Line</t>
  </si>
  <si>
    <t>Country</t>
  </si>
  <si>
    <t>Total Revenue</t>
  </si>
  <si>
    <t>Total Expenditure</t>
  </si>
  <si>
    <t>Balance % GDP</t>
  </si>
  <si>
    <t>GDP</t>
  </si>
  <si>
    <t>Public Dept</t>
  </si>
  <si>
    <t>Interest Payments</t>
  </si>
  <si>
    <t>Direct Taxes Share to Revenue</t>
  </si>
  <si>
    <t>Indirect Taxes Share to Revenue</t>
  </si>
  <si>
    <t>Non-tax Share to Revenue</t>
  </si>
  <si>
    <t>Health Exp.</t>
  </si>
  <si>
    <t>EducationExp.</t>
  </si>
  <si>
    <t>Defense Exp.</t>
  </si>
  <si>
    <t>Infrastructure Exp.</t>
  </si>
  <si>
    <t>Investments</t>
  </si>
  <si>
    <t>Per Capita Spending</t>
  </si>
  <si>
    <t>Revenue % GDP</t>
  </si>
  <si>
    <t>Expenditure % GDP</t>
  </si>
  <si>
    <t>Balance</t>
  </si>
  <si>
    <t>Dept % GDP</t>
  </si>
  <si>
    <t>Debt Service % Revenue</t>
  </si>
  <si>
    <t>Direct Taxes</t>
  </si>
  <si>
    <t>Indirect Taxes</t>
  </si>
  <si>
    <t>Non-Tax Share</t>
  </si>
  <si>
    <t>Health Share</t>
  </si>
  <si>
    <t>Education Share</t>
  </si>
  <si>
    <t>Defense Share</t>
  </si>
  <si>
    <t>Infrastructure Share</t>
  </si>
  <si>
    <t>Investments Share</t>
  </si>
  <si>
    <t>Population (mill)</t>
  </si>
  <si>
    <t>Ιταλία</t>
  </si>
  <si>
    <t>Πορτογαλία</t>
  </si>
  <si>
    <t>Γερμανία</t>
  </si>
  <si>
    <t>ΗΠΑ</t>
  </si>
  <si>
    <t>Ελλάδα</t>
  </si>
  <si>
    <t>Currency</t>
  </si>
  <si>
    <t>$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</si>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</sst>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D1D1-CD50-48EE-81F3-C770C1DF3149}">
  <dimension ref="A1:AF6"/>
  <sheetViews>
    <sheetView tabSelected="1" zoomScale="85" workbookViewId="0">
      <selection activeCell="K5" sqref="K5"/>
    </sheetView>
  </sheetViews>
  <sheetFormatPr defaultRowHeight="14.5" x14ac:dyDescent="0.35"/>
  <cols>
    <col min="2" max="2" width="13.7265625" customWidth="1"/>
    <col min="3" max="3" width="12.90625" style="7" customWidth="1"/>
    <col min="4" max="4" width="18.6328125" customWidth="1"/>
    <col min="5" max="5" width="10.26953125" customWidth="1"/>
    <col min="6" max="7" width="15.26953125" customWidth="1"/>
    <col min="8" max="9" width="18" customWidth="1"/>
    <col min="10" max="10" width="11.90625" customWidth="1"/>
    <col min="11" max="11" width="15.08984375" customWidth="1"/>
    <col min="12" max="12" width="13.6328125" customWidth="1"/>
    <col min="13" max="14" width="12.26953125" customWidth="1"/>
    <col min="15" max="15" width="17.6328125" customWidth="1"/>
    <col min="16" max="16" width="20.36328125" customWidth="1"/>
    <col min="17" max="17" width="11.90625" customWidth="1"/>
    <col min="18" max="18" width="25.1796875" customWidth="1"/>
    <col min="19" max="19" width="13.08984375" customWidth="1"/>
    <col min="20" max="20" width="26.6328125" customWidth="1"/>
    <col min="21" max="21" width="13.453125" customWidth="1"/>
    <col min="22" max="22" width="23.08984375" customWidth="1"/>
    <col min="23" max="24" width="13.1796875" customWidth="1"/>
    <col min="25" max="26" width="15.6328125" customWidth="1"/>
    <col min="27" max="28" width="13.36328125" customWidth="1"/>
    <col min="29" max="29" width="16" customWidth="1"/>
    <col min="30" max="30" width="18" customWidth="1"/>
    <col min="31" max="31" width="14.08984375" customWidth="1"/>
    <col min="32" max="32" width="16.08984375" customWidth="1"/>
  </cols>
  <sheetData>
    <row r="1" spans="1:32" s="4" customFormat="1" ht="15" thickBot="1" x14ac:dyDescent="0.4">
      <c r="A1" s="2" t="s">
        <v>0</v>
      </c>
      <c r="B1" s="3" t="s">
        <v>1</v>
      </c>
      <c r="C1" s="5" t="s">
        <v>30</v>
      </c>
      <c r="D1" s="3" t="s">
        <v>16</v>
      </c>
      <c r="E1" s="3" t="s">
        <v>36</v>
      </c>
      <c r="F1" s="3" t="s">
        <v>2</v>
      </c>
      <c r="G1" s="3" t="s">
        <v>17</v>
      </c>
      <c r="H1" s="3" t="s">
        <v>3</v>
      </c>
      <c r="I1" s="3" t="s">
        <v>18</v>
      </c>
      <c r="J1" s="3" t="s">
        <v>19</v>
      </c>
      <c r="K1" s="3" t="s">
        <v>4</v>
      </c>
      <c r="L1" s="3" t="s">
        <v>5</v>
      </c>
      <c r="M1" s="3" t="s">
        <v>6</v>
      </c>
      <c r="N1" s="3" t="s">
        <v>20</v>
      </c>
      <c r="O1" s="3" t="s">
        <v>7</v>
      </c>
      <c r="P1" s="3" t="s">
        <v>21</v>
      </c>
      <c r="Q1" s="3" t="s">
        <v>22</v>
      </c>
      <c r="R1" s="3" t="s">
        <v>8</v>
      </c>
      <c r="S1" s="3" t="s">
        <v>23</v>
      </c>
      <c r="T1" s="3" t="s">
        <v>9</v>
      </c>
      <c r="U1" s="3" t="s">
        <v>24</v>
      </c>
      <c r="V1" s="3" t="s">
        <v>10</v>
      </c>
      <c r="W1" s="3" t="s">
        <v>11</v>
      </c>
      <c r="X1" s="3" t="s">
        <v>25</v>
      </c>
      <c r="Y1" s="3" t="s">
        <v>12</v>
      </c>
      <c r="Z1" s="3" t="s">
        <v>26</v>
      </c>
      <c r="AA1" s="3" t="s">
        <v>13</v>
      </c>
      <c r="AB1" s="3" t="s">
        <v>27</v>
      </c>
      <c r="AC1" s="3" t="s">
        <v>14</v>
      </c>
      <c r="AD1" s="3" t="s">
        <v>28</v>
      </c>
      <c r="AE1" s="3" t="s">
        <v>15</v>
      </c>
      <c r="AF1" s="3" t="s">
        <v>29</v>
      </c>
    </row>
    <row r="2" spans="1:32" x14ac:dyDescent="0.35">
      <c r="A2" s="1">
        <v>1</v>
      </c>
      <c r="B2" s="1" t="s">
        <v>31</v>
      </c>
      <c r="C2" s="6">
        <v>59.1</v>
      </c>
      <c r="D2" s="6">
        <f>L2/C2</f>
        <v>55837.563451776645</v>
      </c>
      <c r="E2" s="6" t="s">
        <v>38</v>
      </c>
      <c r="F2" s="6">
        <f>L2*(G2/100)</f>
        <v>1567500</v>
      </c>
      <c r="G2" s="6">
        <v>47.5</v>
      </c>
      <c r="H2" s="6">
        <f>L2*(I2/100)</f>
        <v>1663200</v>
      </c>
      <c r="I2" s="6">
        <v>50.4</v>
      </c>
      <c r="J2" s="6">
        <f>F2-H2</f>
        <v>-95700</v>
      </c>
      <c r="K2" s="6">
        <v>-3.3</v>
      </c>
      <c r="L2" s="6">
        <v>3300000</v>
      </c>
      <c r="M2" s="6">
        <f>L2*(N2/100)</f>
        <v>4455000</v>
      </c>
      <c r="N2" s="6">
        <v>135</v>
      </c>
      <c r="O2" s="6">
        <f>L2*0.039</f>
        <v>128700</v>
      </c>
      <c r="P2" s="6">
        <f>O2/F2*100</f>
        <v>8.2105263157894743</v>
      </c>
      <c r="Q2" s="6">
        <f>L2*0.153</f>
        <v>504900</v>
      </c>
      <c r="R2" s="6">
        <f>Q2/F2*100</f>
        <v>32.210526315789473</v>
      </c>
      <c r="S2" s="6">
        <f>L2*0.14</f>
        <v>462000.00000000006</v>
      </c>
      <c r="T2" s="6">
        <f>S2/F2*100</f>
        <v>29.473684210526319</v>
      </c>
      <c r="U2" s="6">
        <f>L2*0.047</f>
        <v>155100</v>
      </c>
      <c r="V2" s="6">
        <f>U2/F2*100</f>
        <v>9.8947368421052637</v>
      </c>
      <c r="W2" s="6">
        <f>0.095*L2</f>
        <v>313500</v>
      </c>
      <c r="X2" s="6">
        <f>W2/H2*100</f>
        <v>18.849206349206348</v>
      </c>
      <c r="Y2" s="6">
        <f>0.04*L2</f>
        <v>132000</v>
      </c>
      <c r="Z2" s="6">
        <f>Y2/H2*100</f>
        <v>7.9365079365079358</v>
      </c>
      <c r="AA2" s="6">
        <f>0.015*L2</f>
        <v>49500</v>
      </c>
      <c r="AB2" s="6">
        <f>AA2/H2*100</f>
        <v>2.9761904761904758</v>
      </c>
      <c r="AC2" s="6">
        <f>0.02*L2</f>
        <v>66000</v>
      </c>
      <c r="AD2" s="6">
        <f>AC2/H2*100</f>
        <v>3.9682539682539679</v>
      </c>
      <c r="AE2" s="6">
        <f>L2*0.035</f>
        <v>115500.00000000001</v>
      </c>
      <c r="AF2" s="6">
        <f>AE2/H2*100</f>
        <v>6.9444444444444446</v>
      </c>
    </row>
    <row r="3" spans="1:32" x14ac:dyDescent="0.35">
      <c r="A3" s="1">
        <v>2</v>
      </c>
      <c r="B3" s="1" t="s">
        <v>32</v>
      </c>
      <c r="C3" s="6">
        <v>10.4</v>
      </c>
      <c r="D3" s="6">
        <f>L3/C3</f>
        <v>28295.288461538461</v>
      </c>
      <c r="E3" s="6" t="s">
        <v>38</v>
      </c>
      <c r="F3" s="6">
        <v>133761</v>
      </c>
      <c r="G3" s="6">
        <f>F3/L3*100</f>
        <v>45.455039742278373</v>
      </c>
      <c r="H3" s="6">
        <v>132899</v>
      </c>
      <c r="I3" s="6">
        <f>H3/L3*100</f>
        <v>45.162112474555762</v>
      </c>
      <c r="J3" s="6">
        <f>F3-H3</f>
        <v>862</v>
      </c>
      <c r="K3" s="6">
        <v>0.3</v>
      </c>
      <c r="L3" s="6">
        <v>294271</v>
      </c>
      <c r="M3" s="6">
        <f>L3*(N3/100)</f>
        <v>274554.84299999999</v>
      </c>
      <c r="N3" s="6">
        <v>93.3</v>
      </c>
      <c r="O3" s="6">
        <v>7192</v>
      </c>
      <c r="P3" s="6">
        <f>O3/F3*100</f>
        <v>5.3767540613482252</v>
      </c>
      <c r="Q3" s="6">
        <v>32862</v>
      </c>
      <c r="R3" s="6">
        <f>Q3/F3*100</f>
        <v>24.567699105120326</v>
      </c>
      <c r="S3" s="6">
        <v>37802</v>
      </c>
      <c r="T3" s="6">
        <f>S3/F3*100</f>
        <v>28.260853312998556</v>
      </c>
      <c r="U3" s="6">
        <v>20877</v>
      </c>
      <c r="V3" s="6">
        <f>U3/F3*100</f>
        <v>15.607688339650572</v>
      </c>
      <c r="W3" s="6">
        <v>1134</v>
      </c>
      <c r="X3" s="6">
        <f>W3/H3*100</f>
        <v>0.85327955816070844</v>
      </c>
      <c r="Y3" s="6">
        <v>360</v>
      </c>
      <c r="Z3" s="6">
        <f>Y3/H3*100</f>
        <v>0.27088239941609793</v>
      </c>
      <c r="AA3" s="6">
        <v>214</v>
      </c>
      <c r="AB3" s="6">
        <f>AA3/H3*100</f>
        <v>0.16102453743068046</v>
      </c>
      <c r="AC3" s="6">
        <v>330</v>
      </c>
      <c r="AD3" s="6">
        <f>AC3/H3*100</f>
        <v>0.24830886613142314</v>
      </c>
      <c r="AE3" s="6">
        <v>4529</v>
      </c>
      <c r="AF3" s="6">
        <f>AE3/H3*100</f>
        <v>3.4078510748764099</v>
      </c>
    </row>
    <row r="4" spans="1:32" x14ac:dyDescent="0.35">
      <c r="A4" s="1">
        <v>3</v>
      </c>
      <c r="B4" s="1" t="s">
        <v>33</v>
      </c>
      <c r="C4" s="6">
        <v>84</v>
      </c>
      <c r="D4" s="6">
        <f>L4/C4</f>
        <v>52760.702380952382</v>
      </c>
      <c r="E4" s="8" t="s">
        <v>38</v>
      </c>
      <c r="F4" s="6">
        <f>L4*(G4/100)</f>
        <v>2091856.3280000002</v>
      </c>
      <c r="G4" s="6">
        <v>47.2</v>
      </c>
      <c r="H4" s="6">
        <f>L4*(I4/100)</f>
        <v>2180494.3080000002</v>
      </c>
      <c r="I4" s="6">
        <v>49.2</v>
      </c>
      <c r="J4" s="6">
        <f>F4-H4</f>
        <v>-88637.979999999981</v>
      </c>
      <c r="K4" s="6">
        <v>-1.75</v>
      </c>
      <c r="L4" s="6">
        <v>4431899</v>
      </c>
      <c r="M4" s="6">
        <f>L4*(N4/100)</f>
        <v>2803176.1174999997</v>
      </c>
      <c r="N4" s="6">
        <v>63.25</v>
      </c>
      <c r="O4" s="6">
        <f>L4*0.01</f>
        <v>44318.99</v>
      </c>
      <c r="P4" s="6">
        <f>O4/F4*100</f>
        <v>2.1186440677966099</v>
      </c>
      <c r="Q4" s="6">
        <f>L4*0.1325</f>
        <v>587226.61750000005</v>
      </c>
      <c r="R4" s="6">
        <f>Q4/F4*100</f>
        <v>28.072033898305083</v>
      </c>
      <c r="S4" s="6">
        <f>L4*0.105</f>
        <v>465349.39499999996</v>
      </c>
      <c r="T4" s="6">
        <f>S4/F4*100</f>
        <v>22.245762711864401</v>
      </c>
      <c r="U4" s="6">
        <f>L4*0.0575</f>
        <v>254834.1925</v>
      </c>
      <c r="V4" s="6">
        <f>U4/F4*100</f>
        <v>12.182203389830509</v>
      </c>
      <c r="W4" s="6">
        <f>0.1*L4</f>
        <v>443189.9</v>
      </c>
      <c r="X4" s="6">
        <f>W4/H4*100</f>
        <v>20.325203252032519</v>
      </c>
      <c r="Y4" s="6">
        <f>0.045*L4</f>
        <v>199435.45499999999</v>
      </c>
      <c r="Z4" s="6">
        <f>Y4/H4*100</f>
        <v>9.1463414634146325</v>
      </c>
      <c r="AA4" s="6">
        <f>0.013*L4</f>
        <v>57614.686999999998</v>
      </c>
      <c r="AB4" s="6">
        <f>AA4/H4*100</f>
        <v>2.6422764227642275</v>
      </c>
      <c r="AC4" s="6">
        <f>0.025*L4</f>
        <v>110797.47500000001</v>
      </c>
      <c r="AD4" s="6">
        <f>AC4/H4*100</f>
        <v>5.0813008130081299</v>
      </c>
      <c r="AE4" s="6">
        <f>L4*0.0325</f>
        <v>144036.7175</v>
      </c>
      <c r="AF4" s="6">
        <f>AE4/H4*100</f>
        <v>6.6056910569105689</v>
      </c>
    </row>
    <row r="5" spans="1:32" x14ac:dyDescent="0.35">
      <c r="A5" s="1">
        <v>4</v>
      </c>
      <c r="B5" s="1" t="s">
        <v>34</v>
      </c>
      <c r="C5" s="6">
        <v>350</v>
      </c>
      <c r="D5" s="6">
        <f>L5/C5</f>
        <v>83828.571428571435</v>
      </c>
      <c r="E5" s="6" t="s">
        <v>37</v>
      </c>
      <c r="F5" s="6">
        <v>5485000</v>
      </c>
      <c r="G5" s="6">
        <f>F5/L5*100</f>
        <v>18.694614860259033</v>
      </c>
      <c r="H5" s="6">
        <v>7266000</v>
      </c>
      <c r="I5" s="6">
        <f>H5/L5*100</f>
        <v>24.764826175869121</v>
      </c>
      <c r="J5" s="6">
        <f>F5-H5</f>
        <v>-1781000</v>
      </c>
      <c r="K5" s="6">
        <v>-6.1</v>
      </c>
      <c r="L5" s="6">
        <v>29340000</v>
      </c>
      <c r="M5" s="6">
        <v>29984000</v>
      </c>
      <c r="N5" s="6">
        <v>102.2</v>
      </c>
      <c r="O5" s="6">
        <v>349000</v>
      </c>
      <c r="P5" s="6">
        <f>O5/F5*100</f>
        <v>6.3628076572470365</v>
      </c>
      <c r="Q5" s="6">
        <v>3106000</v>
      </c>
      <c r="R5" s="6">
        <f>Q5/F5*100</f>
        <v>56.627164995442115</v>
      </c>
      <c r="S5" s="6">
        <v>189000</v>
      </c>
      <c r="T5" s="6">
        <f>S5/F5*100</f>
        <v>3.4457611668185963</v>
      </c>
      <c r="U5" s="6">
        <v>37000</v>
      </c>
      <c r="V5" s="6">
        <f>U5/F5*100</f>
        <v>0.67456700091157706</v>
      </c>
      <c r="W5" s="6">
        <v>1523000</v>
      </c>
      <c r="X5" s="6">
        <f>W5/H5*100</f>
        <v>20.960638590696394</v>
      </c>
      <c r="Y5" s="6">
        <v>275000</v>
      </c>
      <c r="Z5" s="6">
        <v>3.8</v>
      </c>
      <c r="AA5" s="6">
        <v>1090000</v>
      </c>
      <c r="AB5" s="6">
        <v>15</v>
      </c>
      <c r="AC5" s="6">
        <v>884000</v>
      </c>
      <c r="AD5" s="6">
        <v>12.2</v>
      </c>
      <c r="AE5" s="6">
        <v>182000</v>
      </c>
      <c r="AF5" s="6">
        <v>2.5</v>
      </c>
    </row>
    <row r="6" spans="1:32" s="1" customFormat="1" x14ac:dyDescent="0.35">
      <c r="A6" s="1">
        <v>5</v>
      </c>
      <c r="B6" s="1" t="s">
        <v>35</v>
      </c>
      <c r="C6" s="6">
        <v>10</v>
      </c>
      <c r="D6" s="6">
        <f>L6/C6</f>
        <v>22000</v>
      </c>
      <c r="E6" s="8" t="s">
        <v>38</v>
      </c>
      <c r="F6" s="6">
        <f>L6*(G6/100)</f>
        <v>103400</v>
      </c>
      <c r="G6" s="6">
        <v>47</v>
      </c>
      <c r="H6" s="6">
        <f>L6*(I6/100)</f>
        <v>107800</v>
      </c>
      <c r="I6" s="6">
        <v>49</v>
      </c>
      <c r="J6" s="6">
        <f>F6-H6</f>
        <v>-4400</v>
      </c>
      <c r="K6" s="6">
        <v>-2.2999999999999998</v>
      </c>
      <c r="L6" s="6">
        <v>220000</v>
      </c>
      <c r="M6" s="6">
        <v>339000</v>
      </c>
      <c r="N6" s="6">
        <v>154</v>
      </c>
      <c r="O6" s="6">
        <v>7700</v>
      </c>
      <c r="P6" s="6">
        <f>O6/F6*100</f>
        <v>7.4468085106382977</v>
      </c>
      <c r="Q6" s="6">
        <f>0.44*F6</f>
        <v>45496</v>
      </c>
      <c r="R6" s="6">
        <v>44</v>
      </c>
      <c r="S6" s="6">
        <f>0.39*F6</f>
        <v>40326</v>
      </c>
      <c r="T6" s="6">
        <v>39</v>
      </c>
      <c r="U6" s="6">
        <f>0.17*F6</f>
        <v>17578</v>
      </c>
      <c r="V6" s="6">
        <v>17</v>
      </c>
      <c r="W6" s="6">
        <f>L6*0.09</f>
        <v>19800</v>
      </c>
      <c r="X6" s="6">
        <f>W6/H6*100</f>
        <v>18.367346938775512</v>
      </c>
      <c r="Y6" s="6">
        <f>L6*0.04</f>
        <v>8800</v>
      </c>
      <c r="Z6" s="6">
        <f>Y6/H6*100</f>
        <v>8.1632653061224492</v>
      </c>
      <c r="AA6" s="6">
        <f>0.023*L6</f>
        <v>5060</v>
      </c>
      <c r="AB6" s="6">
        <f>AA6/H6*100</f>
        <v>4.6938775510204085</v>
      </c>
      <c r="AC6" s="6">
        <f>0.032*L6</f>
        <v>7040</v>
      </c>
      <c r="AD6" s="6">
        <f>AC6/H6*100</f>
        <v>6.5306122448979593</v>
      </c>
      <c r="AE6" s="6">
        <f>0.036*L6</f>
        <v>7919.9999999999991</v>
      </c>
      <c r="AF6" s="6">
        <f>AE6/H6*100</f>
        <v>7.3469387755102034</v>
      </c>
    </row>
  </sheetData>
  <pageMargins left="0.7" right="0.7" top="0.75" bottom="0.75" header="0.3" footer="0.3"/>
  <ignoredErrors>
    <ignoredError sqref="AE2 W4 W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PINELOPI CHATZINIKOLAOU</dc:creator>
  <cp:lastModifiedBy>PINELOPI CHATZINIKOLAOU</cp:lastModifiedBy>
  <dcterms:created xsi:type="dcterms:W3CDTF">2025-12-03T16:26:28Z</dcterms:created>
  <dcterms:modified xsi:type="dcterms:W3CDTF">2025-12-04T10:52:39Z</dcterms:modified>
</cp:coreProperties>
</file>